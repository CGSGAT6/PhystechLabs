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<sst xmlns="http://schemas.openxmlformats.org/spreadsheetml/2006/main" count="11" uniqueCount="11">
  <si>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t, с</t>
  </si>
  <si>
    <t xml:space="preserve">E, мВ</t>
  </si>
  <si>
    <t xml:space="preserve">ln(E)</t>
  </si>
  <si>
    <t xml:space="preserve">T - T0, C</t>
  </si>
  <si>
    <t xml:space="preserve">T - T0, K</t>
  </si>
  <si>
    <t xml:space="preserve">ln(T - T0)</t>
  </si>
  <si>
    <t xml:space="preserve">T0, C</t>
  </si>
  <si>
    <t xml:space="preserve">\Delta T0, C</t>
  </si>
  <si>
    <t xml:space="preserve">t1</t>
  </si>
  <si>
    <t xml:space="preserve">t2</t>
  </si>
  <si>
    <t xml:space="preserve">delta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</si>
</sst>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Arial"/>
      <family val="0"/>
      <charset val="1"/>
    </font>
    <font>
      <sz val="10"/>
      <color rgb="FF000000"/>
      <name val="Times New Roman"/>
      <family val="1"/>
      <charset val="204"/>
    </font>
    <font>
      <sz val="18"/>
      <color rgb="FF757575"/>
      <name val="Arial"/>
      <family val="2"/>
    </font>
    <font>
      <sz val="10"/>
      <color rgb="FF000000"/>
      <name val="Arial"/>
      <family val="2"/>
    </font>
    <font>
      <sz val="10"/>
      <color rgb="FF1A1A1A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666699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Arial"/>
                <a:ea typeface="Arial"/>
              </a:rPr>
              <a:t>E, мВ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285F4"/>
            </a:solidFill>
            <a:ln w="1260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Sheet1!$A$2:$A$70</c:f>
              <c:strCache>
                <c:ptCount val="69"/>
                <c:pt idx="0">
                  <c:v>0</c:v>
                </c:pt>
                <c:pt idx="1">
                  <c:v/>
                </c:pt>
                <c:pt idx="2">
                  <c:v>30</c:v>
                </c:pt>
                <c:pt idx="3">
                  <c:v/>
                </c:pt>
                <c:pt idx="4">
                  <c:v>60</c:v>
                </c:pt>
                <c:pt idx="5">
                  <c:v/>
                </c:pt>
                <c:pt idx="6">
                  <c:v>90</c:v>
                </c:pt>
                <c:pt idx="7">
                  <c:v/>
                </c:pt>
                <c:pt idx="8">
                  <c:v>120</c:v>
                </c:pt>
                <c:pt idx="9">
                  <c:v/>
                </c:pt>
                <c:pt idx="10">
                  <c:v>150</c:v>
                </c:pt>
                <c:pt idx="11">
                  <c:v/>
                </c:pt>
                <c:pt idx="12">
                  <c:v>180</c:v>
                </c:pt>
                <c:pt idx="13">
                  <c:v/>
                </c:pt>
                <c:pt idx="14">
                  <c:v>210</c:v>
                </c:pt>
                <c:pt idx="15">
                  <c:v/>
                </c:pt>
                <c:pt idx="16">
                  <c:v>240</c:v>
                </c:pt>
                <c:pt idx="17">
                  <c:v/>
                </c:pt>
                <c:pt idx="18">
                  <c:v>270</c:v>
                </c:pt>
                <c:pt idx="19">
                  <c:v/>
                </c:pt>
                <c:pt idx="20">
                  <c:v>300</c:v>
                </c:pt>
                <c:pt idx="21">
                  <c:v/>
                </c:pt>
                <c:pt idx="22">
                  <c:v>330</c:v>
                </c:pt>
                <c:pt idx="23">
                  <c:v/>
                </c:pt>
                <c:pt idx="24">
                  <c:v>360</c:v>
                </c:pt>
                <c:pt idx="25">
                  <c:v/>
                </c:pt>
                <c:pt idx="26">
                  <c:v>390</c:v>
                </c:pt>
                <c:pt idx="27">
                  <c:v/>
                </c:pt>
                <c:pt idx="28">
                  <c:v>420</c:v>
                </c:pt>
                <c:pt idx="29">
                  <c:v/>
                </c:pt>
                <c:pt idx="30">
                  <c:v>450</c:v>
                </c:pt>
                <c:pt idx="31">
                  <c:v/>
                </c:pt>
                <c:pt idx="32">
                  <c:v>480</c:v>
                </c:pt>
                <c:pt idx="33">
                  <c:v/>
                </c:pt>
                <c:pt idx="34">
                  <c:v>510</c:v>
                </c:pt>
                <c:pt idx="35">
                  <c:v/>
                </c:pt>
                <c:pt idx="36">
                  <c:v>540</c:v>
                </c:pt>
                <c:pt idx="37">
                  <c:v/>
                </c:pt>
                <c:pt idx="38">
                  <c:v>570</c:v>
                </c:pt>
                <c:pt idx="39">
                  <c:v/>
                </c:pt>
                <c:pt idx="40">
                  <c:v>600</c:v>
                </c:pt>
                <c:pt idx="41">
                  <c:v/>
                </c:pt>
                <c:pt idx="42">
                  <c:v>630</c:v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</c:strCache>
            </c:strRef>
          </c:cat>
          <c:val>
            <c:numRef>
              <c:f>Sheet1!$B$2:$B$70</c:f>
              <c:numCache>
                <c:formatCode>0.0</c:formatCode>
                <c:ptCount val="69"/>
                <c:pt idx="0">
                  <c:v>19.2</c:v>
                </c:pt>
                <c:pt idx="2">
                  <c:v>17.7</c:v>
                </c:pt>
                <c:pt idx="4">
                  <c:v>16.4</c:v>
                </c:pt>
                <c:pt idx="6">
                  <c:v>15.2</c:v>
                </c:pt>
                <c:pt idx="8">
                  <c:v>15.4</c:v>
                </c:pt>
                <c:pt idx="10">
                  <c:v>15.3</c:v>
                </c:pt>
                <c:pt idx="12">
                  <c:v>15.2</c:v>
                </c:pt>
                <c:pt idx="14">
                  <c:v>15.3</c:v>
                </c:pt>
                <c:pt idx="16">
                  <c:v>15.2</c:v>
                </c:pt>
                <c:pt idx="18">
                  <c:v>15.1</c:v>
                </c:pt>
                <c:pt idx="20">
                  <c:v>14.9</c:v>
                </c:pt>
                <c:pt idx="22">
                  <c:v>14.6</c:v>
                </c:pt>
                <c:pt idx="24">
                  <c:v>13.8</c:v>
                </c:pt>
                <c:pt idx="26">
                  <c:v>12.9</c:v>
                </c:pt>
                <c:pt idx="28">
                  <c:v>11.9</c:v>
                </c:pt>
                <c:pt idx="30">
                  <c:v>11.1</c:v>
                </c:pt>
                <c:pt idx="32">
                  <c:v>10.3</c:v>
                </c:pt>
                <c:pt idx="34">
                  <c:v>9.7</c:v>
                </c:pt>
                <c:pt idx="36">
                  <c:v>9.1</c:v>
                </c:pt>
                <c:pt idx="38">
                  <c:v>8.5</c:v>
                </c:pt>
                <c:pt idx="40">
                  <c:v>8</c:v>
                </c:pt>
                <c:pt idx="42">
                  <c:v>7.4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046246"/>
        <c:axId val="75835369"/>
      </c:lineChart>
      <c:catAx>
        <c:axId val="970462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5835369"/>
        <c:crosses val="autoZero"/>
        <c:auto val="1"/>
        <c:lblAlgn val="ctr"/>
        <c:lblOffset val="100"/>
        <c:noMultiLvlLbl val="0"/>
      </c:catAx>
      <c:valAx>
        <c:axId val="7583536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E, мВ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70462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Arial"/>
                <a:ea typeface="Arial"/>
              </a:rPr>
              <a:t>ln(E)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285F4"/>
            </a:solidFill>
            <a:ln w="1260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Sheet1!$A$2:$A$70</c:f>
              <c:strCache>
                <c:ptCount val="69"/>
                <c:pt idx="0">
                  <c:v>0</c:v>
                </c:pt>
                <c:pt idx="1">
                  <c:v/>
                </c:pt>
                <c:pt idx="2">
                  <c:v>30</c:v>
                </c:pt>
                <c:pt idx="3">
                  <c:v/>
                </c:pt>
                <c:pt idx="4">
                  <c:v>60</c:v>
                </c:pt>
                <c:pt idx="5">
                  <c:v/>
                </c:pt>
                <c:pt idx="6">
                  <c:v>90</c:v>
                </c:pt>
                <c:pt idx="7">
                  <c:v/>
                </c:pt>
                <c:pt idx="8">
                  <c:v>120</c:v>
                </c:pt>
                <c:pt idx="9">
                  <c:v/>
                </c:pt>
                <c:pt idx="10">
                  <c:v>150</c:v>
                </c:pt>
                <c:pt idx="11">
                  <c:v/>
                </c:pt>
                <c:pt idx="12">
                  <c:v>180</c:v>
                </c:pt>
                <c:pt idx="13">
                  <c:v/>
                </c:pt>
                <c:pt idx="14">
                  <c:v>210</c:v>
                </c:pt>
                <c:pt idx="15">
                  <c:v/>
                </c:pt>
                <c:pt idx="16">
                  <c:v>240</c:v>
                </c:pt>
                <c:pt idx="17">
                  <c:v/>
                </c:pt>
                <c:pt idx="18">
                  <c:v>270</c:v>
                </c:pt>
                <c:pt idx="19">
                  <c:v/>
                </c:pt>
                <c:pt idx="20">
                  <c:v>300</c:v>
                </c:pt>
                <c:pt idx="21">
                  <c:v/>
                </c:pt>
                <c:pt idx="22">
                  <c:v>330</c:v>
                </c:pt>
                <c:pt idx="23">
                  <c:v/>
                </c:pt>
                <c:pt idx="24">
                  <c:v>360</c:v>
                </c:pt>
                <c:pt idx="25">
                  <c:v/>
                </c:pt>
                <c:pt idx="26">
                  <c:v>390</c:v>
                </c:pt>
                <c:pt idx="27">
                  <c:v/>
                </c:pt>
                <c:pt idx="28">
                  <c:v>420</c:v>
                </c:pt>
                <c:pt idx="29">
                  <c:v/>
                </c:pt>
                <c:pt idx="30">
                  <c:v>450</c:v>
                </c:pt>
                <c:pt idx="31">
                  <c:v/>
                </c:pt>
                <c:pt idx="32">
                  <c:v>480</c:v>
                </c:pt>
                <c:pt idx="33">
                  <c:v/>
                </c:pt>
                <c:pt idx="34">
                  <c:v>510</c:v>
                </c:pt>
                <c:pt idx="35">
                  <c:v/>
                </c:pt>
                <c:pt idx="36">
                  <c:v>540</c:v>
                </c:pt>
                <c:pt idx="37">
                  <c:v/>
                </c:pt>
                <c:pt idx="38">
                  <c:v>570</c:v>
                </c:pt>
                <c:pt idx="39">
                  <c:v/>
                </c:pt>
                <c:pt idx="40">
                  <c:v>600</c:v>
                </c:pt>
                <c:pt idx="41">
                  <c:v/>
                </c:pt>
                <c:pt idx="42">
                  <c:v>630</c:v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</c:strCache>
            </c:strRef>
          </c:cat>
          <c:val>
            <c:numRef>
              <c:f>Sheet1!$C$2:$C$70</c:f>
              <c:numCache>
                <c:formatCode>General</c:formatCode>
                <c:ptCount val="69"/>
                <c:pt idx="0">
                  <c:v>2.95491027903374</c:v>
                </c:pt>
                <c:pt idx="2">
                  <c:v>2.87356463957978</c:v>
                </c:pt>
                <c:pt idx="4">
                  <c:v>2.79728133483015</c:v>
                </c:pt>
                <c:pt idx="6">
                  <c:v>2.72129542785223</c:v>
                </c:pt>
                <c:pt idx="8">
                  <c:v>2.73436750941958</c:v>
                </c:pt>
                <c:pt idx="10">
                  <c:v>2.72785282839839</c:v>
                </c:pt>
                <c:pt idx="12">
                  <c:v>2.72129542785223</c:v>
                </c:pt>
                <c:pt idx="14">
                  <c:v>2.72785282839839</c:v>
                </c:pt>
                <c:pt idx="16">
                  <c:v>2.72129542785223</c:v>
                </c:pt>
                <c:pt idx="18">
                  <c:v>2.71469474382088</c:v>
                </c:pt>
                <c:pt idx="20">
                  <c:v>2.70136121295141</c:v>
                </c:pt>
                <c:pt idx="22">
                  <c:v>2.68102152871429</c:v>
                </c:pt>
                <c:pt idx="24">
                  <c:v>2.62466859216316</c:v>
                </c:pt>
                <c:pt idx="26">
                  <c:v>2.55722731136763</c:v>
                </c:pt>
                <c:pt idx="28">
                  <c:v>2.47653840011748</c:v>
                </c:pt>
                <c:pt idx="30">
                  <c:v>2.40694510831829</c:v>
                </c:pt>
                <c:pt idx="32">
                  <c:v>2.33214389523559</c:v>
                </c:pt>
                <c:pt idx="34">
                  <c:v>2.27212588550934</c:v>
                </c:pt>
                <c:pt idx="36">
                  <c:v>2.2082744135228</c:v>
                </c:pt>
                <c:pt idx="38">
                  <c:v>2.14006616349627</c:v>
                </c:pt>
                <c:pt idx="40">
                  <c:v>2.07944154167984</c:v>
                </c:pt>
                <c:pt idx="42">
                  <c:v>2.00148000021012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237499"/>
        <c:axId val="75727596"/>
      </c:lineChart>
      <c:catAx>
        <c:axId val="332374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5727596"/>
        <c:crosses val="autoZero"/>
        <c:auto val="1"/>
        <c:lblAlgn val="ctr"/>
        <c:lblOffset val="100"/>
        <c:noMultiLvlLbl val="0"/>
      </c:catAx>
      <c:valAx>
        <c:axId val="7572759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E, мВ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323749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Arial"/>
                <a:ea typeface="Arial"/>
              </a:rPr>
              <a:t>ln(E)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285F4"/>
            </a:solidFill>
            <a:ln w="1260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Sheet1!$A$2:$A$70</c:f>
              <c:strCache>
                <c:ptCount val="69"/>
                <c:pt idx="0">
                  <c:v>0</c:v>
                </c:pt>
                <c:pt idx="1">
                  <c:v/>
                </c:pt>
                <c:pt idx="2">
                  <c:v>30</c:v>
                </c:pt>
                <c:pt idx="3">
                  <c:v/>
                </c:pt>
                <c:pt idx="4">
                  <c:v>60</c:v>
                </c:pt>
                <c:pt idx="5">
                  <c:v/>
                </c:pt>
                <c:pt idx="6">
                  <c:v>90</c:v>
                </c:pt>
                <c:pt idx="7">
                  <c:v/>
                </c:pt>
                <c:pt idx="8">
                  <c:v>120</c:v>
                </c:pt>
                <c:pt idx="9">
                  <c:v/>
                </c:pt>
                <c:pt idx="10">
                  <c:v>150</c:v>
                </c:pt>
                <c:pt idx="11">
                  <c:v/>
                </c:pt>
                <c:pt idx="12">
                  <c:v>180</c:v>
                </c:pt>
                <c:pt idx="13">
                  <c:v/>
                </c:pt>
                <c:pt idx="14">
                  <c:v>210</c:v>
                </c:pt>
                <c:pt idx="15">
                  <c:v/>
                </c:pt>
                <c:pt idx="16">
                  <c:v>240</c:v>
                </c:pt>
                <c:pt idx="17">
                  <c:v/>
                </c:pt>
                <c:pt idx="18">
                  <c:v>270</c:v>
                </c:pt>
                <c:pt idx="19">
                  <c:v/>
                </c:pt>
                <c:pt idx="20">
                  <c:v>300</c:v>
                </c:pt>
                <c:pt idx="21">
                  <c:v/>
                </c:pt>
                <c:pt idx="22">
                  <c:v>330</c:v>
                </c:pt>
                <c:pt idx="23">
                  <c:v/>
                </c:pt>
                <c:pt idx="24">
                  <c:v>360</c:v>
                </c:pt>
                <c:pt idx="25">
                  <c:v/>
                </c:pt>
                <c:pt idx="26">
                  <c:v>390</c:v>
                </c:pt>
                <c:pt idx="27">
                  <c:v/>
                </c:pt>
                <c:pt idx="28">
                  <c:v>420</c:v>
                </c:pt>
                <c:pt idx="29">
                  <c:v/>
                </c:pt>
                <c:pt idx="30">
                  <c:v>450</c:v>
                </c:pt>
                <c:pt idx="31">
                  <c:v/>
                </c:pt>
                <c:pt idx="32">
                  <c:v>480</c:v>
                </c:pt>
                <c:pt idx="33">
                  <c:v/>
                </c:pt>
                <c:pt idx="34">
                  <c:v>510</c:v>
                </c:pt>
                <c:pt idx="35">
                  <c:v/>
                </c:pt>
                <c:pt idx="36">
                  <c:v>540</c:v>
                </c:pt>
                <c:pt idx="37">
                  <c:v/>
                </c:pt>
                <c:pt idx="38">
                  <c:v>570</c:v>
                </c:pt>
                <c:pt idx="39">
                  <c:v/>
                </c:pt>
                <c:pt idx="40">
                  <c:v>600</c:v>
                </c:pt>
                <c:pt idx="41">
                  <c:v/>
                </c:pt>
                <c:pt idx="42">
                  <c:v>630</c:v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</c:strCache>
            </c:strRef>
          </c:cat>
          <c:val>
            <c:numRef>
              <c:f>Sheet1!$D$2:$D$45</c:f>
              <c:numCache>
                <c:formatCode>General</c:formatCode>
                <c:ptCount val="44"/>
                <c:pt idx="2">
                  <c:v>238</c:v>
                </c:pt>
                <c:pt idx="4">
                  <c:v>222</c:v>
                </c:pt>
                <c:pt idx="6">
                  <c:v>208</c:v>
                </c:pt>
                <c:pt idx="8">
                  <c:v>210</c:v>
                </c:pt>
                <c:pt idx="10">
                  <c:v>209</c:v>
                </c:pt>
                <c:pt idx="12">
                  <c:v>208</c:v>
                </c:pt>
                <c:pt idx="14">
                  <c:v>209</c:v>
                </c:pt>
                <c:pt idx="16">
                  <c:v>208</c:v>
                </c:pt>
                <c:pt idx="18">
                  <c:v>207</c:v>
                </c:pt>
                <c:pt idx="20">
                  <c:v>204</c:v>
                </c:pt>
                <c:pt idx="22">
                  <c:v>200</c:v>
                </c:pt>
                <c:pt idx="24">
                  <c:v>191</c:v>
                </c:pt>
                <c:pt idx="26">
                  <c:v>179</c:v>
                </c:pt>
                <c:pt idx="28">
                  <c:v>167</c:v>
                </c:pt>
                <c:pt idx="30">
                  <c:v>156</c:v>
                </c:pt>
                <c:pt idx="32">
                  <c:v>146</c:v>
                </c:pt>
                <c:pt idx="34">
                  <c:v>138</c:v>
                </c:pt>
                <c:pt idx="36">
                  <c:v>130</c:v>
                </c:pt>
                <c:pt idx="38">
                  <c:v>122</c:v>
                </c:pt>
                <c:pt idx="40">
                  <c:v>115</c:v>
                </c:pt>
                <c:pt idx="42">
                  <c:v>107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556893"/>
        <c:axId val="24901737"/>
      </c:lineChart>
      <c:catAx>
        <c:axId val="575568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4901737"/>
        <c:crosses val="autoZero"/>
        <c:auto val="1"/>
        <c:lblAlgn val="ctr"/>
        <c:lblOffset val="100"/>
        <c:noMultiLvlLbl val="0"/>
      </c:catAx>
      <c:valAx>
        <c:axId val="2490173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E, мВ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75568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Arial"/>
                <a:ea typeface="Arial"/>
              </a:rPr>
              <a:t>E, мВ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285F4"/>
            </a:solidFill>
            <a:ln w="1260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Sheet1!$A$2:$A$70</c:f>
              <c:strCache>
                <c:ptCount val="69"/>
                <c:pt idx="0">
                  <c:v>0</c:v>
                </c:pt>
                <c:pt idx="1">
                  <c:v/>
                </c:pt>
                <c:pt idx="2">
                  <c:v>30</c:v>
                </c:pt>
                <c:pt idx="3">
                  <c:v/>
                </c:pt>
                <c:pt idx="4">
                  <c:v>60</c:v>
                </c:pt>
                <c:pt idx="5">
                  <c:v/>
                </c:pt>
                <c:pt idx="6">
                  <c:v>90</c:v>
                </c:pt>
                <c:pt idx="7">
                  <c:v/>
                </c:pt>
                <c:pt idx="8">
                  <c:v>120</c:v>
                </c:pt>
                <c:pt idx="9">
                  <c:v/>
                </c:pt>
                <c:pt idx="10">
                  <c:v>150</c:v>
                </c:pt>
                <c:pt idx="11">
                  <c:v/>
                </c:pt>
                <c:pt idx="12">
                  <c:v>180</c:v>
                </c:pt>
                <c:pt idx="13">
                  <c:v/>
                </c:pt>
                <c:pt idx="14">
                  <c:v>210</c:v>
                </c:pt>
                <c:pt idx="15">
                  <c:v/>
                </c:pt>
                <c:pt idx="16">
                  <c:v>240</c:v>
                </c:pt>
                <c:pt idx="17">
                  <c:v/>
                </c:pt>
                <c:pt idx="18">
                  <c:v>270</c:v>
                </c:pt>
                <c:pt idx="19">
                  <c:v/>
                </c:pt>
                <c:pt idx="20">
                  <c:v>300</c:v>
                </c:pt>
                <c:pt idx="21">
                  <c:v/>
                </c:pt>
                <c:pt idx="22">
                  <c:v>330</c:v>
                </c:pt>
                <c:pt idx="23">
                  <c:v/>
                </c:pt>
                <c:pt idx="24">
                  <c:v>360</c:v>
                </c:pt>
                <c:pt idx="25">
                  <c:v/>
                </c:pt>
                <c:pt idx="26">
                  <c:v>390</c:v>
                </c:pt>
                <c:pt idx="27">
                  <c:v/>
                </c:pt>
                <c:pt idx="28">
                  <c:v>420</c:v>
                </c:pt>
                <c:pt idx="29">
                  <c:v/>
                </c:pt>
                <c:pt idx="30">
                  <c:v>450</c:v>
                </c:pt>
                <c:pt idx="31">
                  <c:v/>
                </c:pt>
                <c:pt idx="32">
                  <c:v>480</c:v>
                </c:pt>
                <c:pt idx="33">
                  <c:v/>
                </c:pt>
                <c:pt idx="34">
                  <c:v>510</c:v>
                </c:pt>
                <c:pt idx="35">
                  <c:v/>
                </c:pt>
                <c:pt idx="36">
                  <c:v>540</c:v>
                </c:pt>
                <c:pt idx="37">
                  <c:v/>
                </c:pt>
                <c:pt idx="38">
                  <c:v>570</c:v>
                </c:pt>
                <c:pt idx="39">
                  <c:v/>
                </c:pt>
                <c:pt idx="40">
                  <c:v>600</c:v>
                </c:pt>
                <c:pt idx="41">
                  <c:v/>
                </c:pt>
                <c:pt idx="42">
                  <c:v>630</c:v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</c:strCache>
            </c:strRef>
          </c:cat>
          <c:val>
            <c:numRef>
              <c:f>Sheet1!$F$2:$F$45</c:f>
              <c:numCache>
                <c:formatCode>General</c:formatCode>
                <c:ptCount val="44"/>
                <c:pt idx="0">
                  <c:v>5.576</c:v>
                </c:pt>
                <c:pt idx="2">
                  <c:v>5.47227067367148</c:v>
                </c:pt>
                <c:pt idx="4">
                  <c:v>5.40267738187228</c:v>
                </c:pt>
                <c:pt idx="6">
                  <c:v>5.33753807970132</c:v>
                </c:pt>
                <c:pt idx="8">
                  <c:v>5.34710753071747</c:v>
                </c:pt>
                <c:pt idx="10">
                  <c:v>5.34233425196481</c:v>
                </c:pt>
                <c:pt idx="12">
                  <c:v>5.33753807970132</c:v>
                </c:pt>
                <c:pt idx="14">
                  <c:v>5.34233425196481</c:v>
                </c:pt>
                <c:pt idx="16">
                  <c:v>5.33753807970132</c:v>
                </c:pt>
                <c:pt idx="18">
                  <c:v>5.33271879326537</c:v>
                </c:pt>
                <c:pt idx="20">
                  <c:v>5.31811999384422</c:v>
                </c:pt>
                <c:pt idx="22">
                  <c:v>5.29831736654804</c:v>
                </c:pt>
                <c:pt idx="24">
                  <c:v>5.25227342804663</c:v>
                </c:pt>
                <c:pt idx="26">
                  <c:v>5.18738580584076</c:v>
                </c:pt>
                <c:pt idx="28">
                  <c:v>5.11799381241676</c:v>
                </c:pt>
                <c:pt idx="30">
                  <c:v>5.04985600724954</c:v>
                </c:pt>
                <c:pt idx="32">
                  <c:v>4.98360662170834</c:v>
                </c:pt>
                <c:pt idx="34">
                  <c:v>4.92725368515721</c:v>
                </c:pt>
                <c:pt idx="36">
                  <c:v>4.86753445045558</c:v>
                </c:pt>
                <c:pt idx="38">
                  <c:v>4.80402104473326</c:v>
                </c:pt>
                <c:pt idx="40">
                  <c:v>4.74493212836325</c:v>
                </c:pt>
                <c:pt idx="42">
                  <c:v>4.67282883446191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374729"/>
        <c:axId val="65867460"/>
      </c:lineChart>
      <c:catAx>
        <c:axId val="563747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5867460"/>
        <c:crosses val="autoZero"/>
        <c:auto val="1"/>
        <c:lblAlgn val="ctr"/>
        <c:lblOffset val="100"/>
        <c:noMultiLvlLbl val="0"/>
      </c:catAx>
      <c:valAx>
        <c:axId val="6586746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E, мВ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63747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876240</xdr:colOff>
      <xdr:row>8</xdr:row>
      <xdr:rowOff>114480</xdr:rowOff>
    </xdr:from>
    <xdr:to>
      <xdr:col>23</xdr:col>
      <xdr:colOff>359280</xdr:colOff>
      <xdr:row>26</xdr:row>
      <xdr:rowOff>47520</xdr:rowOff>
    </xdr:to>
    <xdr:graphicFrame>
      <xdr:nvGraphicFramePr>
        <xdr:cNvPr id="1" name="Chart 1"/>
        <xdr:cNvGraphicFramePr/>
      </xdr:nvGraphicFramePr>
      <xdr:xfrm>
        <a:off x="15120720" y="171468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533520</xdr:colOff>
      <xdr:row>8</xdr:row>
      <xdr:rowOff>114480</xdr:rowOff>
    </xdr:from>
    <xdr:to>
      <xdr:col>17</xdr:col>
      <xdr:colOff>16200</xdr:colOff>
      <xdr:row>25</xdr:row>
      <xdr:rowOff>114120</xdr:rowOff>
    </xdr:to>
    <xdr:graphicFrame>
      <xdr:nvGraphicFramePr>
        <xdr:cNvPr id="2" name="Chart 2"/>
        <xdr:cNvGraphicFramePr/>
      </xdr:nvGraphicFramePr>
      <xdr:xfrm>
        <a:off x="9436320" y="1714680"/>
        <a:ext cx="5714640" cy="3400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533520</xdr:colOff>
      <xdr:row>25</xdr:row>
      <xdr:rowOff>198360</xdr:rowOff>
    </xdr:from>
    <xdr:to>
      <xdr:col>17</xdr:col>
      <xdr:colOff>16200</xdr:colOff>
      <xdr:row>43</xdr:row>
      <xdr:rowOff>131400</xdr:rowOff>
    </xdr:to>
    <xdr:graphicFrame>
      <xdr:nvGraphicFramePr>
        <xdr:cNvPr id="3" name="Chart 3"/>
        <xdr:cNvGraphicFramePr/>
      </xdr:nvGraphicFramePr>
      <xdr:xfrm>
        <a:off x="9436320" y="519912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114480</xdr:colOff>
      <xdr:row>25</xdr:row>
      <xdr:rowOff>133200</xdr:rowOff>
    </xdr:from>
    <xdr:to>
      <xdr:col>23</xdr:col>
      <xdr:colOff>335520</xdr:colOff>
      <xdr:row>42</xdr:row>
      <xdr:rowOff>28440</xdr:rowOff>
    </xdr:to>
    <xdr:graphicFrame>
      <xdr:nvGraphicFramePr>
        <xdr:cNvPr id="4" name="Chart 4"/>
        <xdr:cNvGraphicFramePr/>
      </xdr:nvGraphicFramePr>
      <xdr:xfrm>
        <a:off x="15249240" y="5133960"/>
        <a:ext cx="5562360" cy="329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4" activeCellId="0" sqref="L4:M7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0" t="s">
        <v>8</v>
      </c>
      <c r="K1" s="0" t="s">
        <v>9</v>
      </c>
      <c r="L1" s="0" t="s">
        <v>10</v>
      </c>
    </row>
    <row r="2" customFormat="false" ht="15.75" hidden="false" customHeight="false" outlineLevel="0" collapsed="false">
      <c r="A2" s="1" t="n">
        <v>0</v>
      </c>
      <c r="B2" s="2" t="n">
        <v>19.2</v>
      </c>
      <c r="C2" s="3" t="n">
        <f aca="false">LN(B2)</f>
        <v>2.95491027903374</v>
      </c>
      <c r="F2" s="3" t="n">
        <f aca="false">5.576</f>
        <v>5.576</v>
      </c>
      <c r="G2" s="1" t="n">
        <v>22</v>
      </c>
      <c r="H2" s="1" t="n">
        <v>1</v>
      </c>
      <c r="J2" s="4" t="n">
        <f aca="false">( 5.339-5.57031066091178 )/(-0.00288871030212866)</f>
        <v>80.0740249866278</v>
      </c>
      <c r="K2" s="4" t="n">
        <f aca="false">( 5.339-6.0086)/(-0.00211676767676768)</f>
        <v>316.331360946745</v>
      </c>
      <c r="L2" s="0" t="n">
        <f aca="false">K2-J2</f>
        <v>236.257335960117</v>
      </c>
    </row>
    <row r="3" customFormat="false" ht="15.75" hidden="false" customHeight="false" outlineLevel="0" collapsed="false">
      <c r="A3" s="1"/>
      <c r="B3" s="2"/>
      <c r="C3" s="3"/>
    </row>
    <row r="4" customFormat="false" ht="15.75" hidden="false" customHeight="false" outlineLevel="0" collapsed="false">
      <c r="A4" s="1" t="n">
        <v>30</v>
      </c>
      <c r="B4" s="2" t="n">
        <v>17.7</v>
      </c>
      <c r="C4" s="3" t="n">
        <f aca="false">LN(B4)</f>
        <v>2.87356463957978</v>
      </c>
      <c r="D4" s="1" t="n">
        <v>238</v>
      </c>
      <c r="E4" s="3" t="n">
        <f aca="false">D4+273</f>
        <v>511</v>
      </c>
      <c r="F4" s="3" t="n">
        <f aca="false">LN(D4)</f>
        <v>5.47227067367148</v>
      </c>
    </row>
    <row r="5" customFormat="false" ht="15.75" hidden="false" customHeight="false" outlineLevel="0" collapsed="false">
      <c r="A5" s="1"/>
      <c r="B5" s="2"/>
      <c r="C5" s="3"/>
      <c r="D5" s="1"/>
      <c r="E5" s="3"/>
      <c r="F5" s="3"/>
    </row>
    <row r="6" customFormat="false" ht="15.75" hidden="false" customHeight="false" outlineLevel="0" collapsed="false">
      <c r="A6" s="1" t="n">
        <v>60</v>
      </c>
      <c r="B6" s="2" t="n">
        <v>16.4</v>
      </c>
      <c r="C6" s="3" t="n">
        <f aca="false">LN(B6)</f>
        <v>2.79728133483015</v>
      </c>
      <c r="D6" s="1" t="n">
        <v>222</v>
      </c>
      <c r="E6" s="3" t="n">
        <f aca="false">D6+273</f>
        <v>495</v>
      </c>
      <c r="F6" s="3" t="n">
        <f aca="false">LN(D6)</f>
        <v>5.40267738187228</v>
      </c>
    </row>
    <row r="7" customFormat="false" ht="15.75" hidden="false" customHeight="false" outlineLevel="0" collapsed="false">
      <c r="A7" s="1"/>
      <c r="B7" s="2"/>
      <c r="C7" s="3"/>
      <c r="D7" s="1"/>
      <c r="E7" s="3"/>
      <c r="F7" s="3"/>
    </row>
    <row r="8" customFormat="false" ht="15.75" hidden="false" customHeight="false" outlineLevel="0" collapsed="false">
      <c r="A8" s="1" t="n">
        <v>90</v>
      </c>
      <c r="B8" s="2" t="n">
        <v>15.2</v>
      </c>
      <c r="C8" s="3" t="n">
        <f aca="false">LN(B8)</f>
        <v>2.72129542785223</v>
      </c>
      <c r="D8" s="1" t="n">
        <v>208</v>
      </c>
      <c r="E8" s="3" t="n">
        <f aca="false">D8+273</f>
        <v>481</v>
      </c>
      <c r="F8" s="3" t="n">
        <f aca="false">LN(D8)</f>
        <v>5.33753807970132</v>
      </c>
    </row>
    <row r="9" customFormat="false" ht="15.75" hidden="false" customHeight="false" outlineLevel="0" collapsed="false">
      <c r="A9" s="1"/>
      <c r="B9" s="2"/>
      <c r="C9" s="3"/>
      <c r="D9" s="1"/>
      <c r="E9" s="3"/>
      <c r="F9" s="3"/>
    </row>
    <row r="10" customFormat="false" ht="15.75" hidden="false" customHeight="false" outlineLevel="0" collapsed="false">
      <c r="A10" s="1" t="n">
        <v>120</v>
      </c>
      <c r="B10" s="2" t="n">
        <v>15.4</v>
      </c>
      <c r="C10" s="3" t="n">
        <f aca="false">LN(B10)</f>
        <v>2.73436750941958</v>
      </c>
      <c r="D10" s="1" t="n">
        <v>210</v>
      </c>
      <c r="E10" s="3" t="n">
        <f aca="false">D10+273</f>
        <v>483</v>
      </c>
      <c r="F10" s="3" t="n">
        <f aca="false">LN(D10)</f>
        <v>5.34710753071747</v>
      </c>
    </row>
    <row r="11" customFormat="false" ht="15.75" hidden="false" customHeight="false" outlineLevel="0" collapsed="false">
      <c r="A11" s="1"/>
      <c r="B11" s="2"/>
      <c r="C11" s="3"/>
      <c r="D11" s="1"/>
      <c r="E11" s="3"/>
      <c r="F11" s="3"/>
    </row>
    <row r="12" customFormat="false" ht="15.75" hidden="false" customHeight="false" outlineLevel="0" collapsed="false">
      <c r="A12" s="1" t="n">
        <v>150</v>
      </c>
      <c r="B12" s="2" t="n">
        <v>15.3</v>
      </c>
      <c r="C12" s="3" t="n">
        <f aca="false">LN(B12)</f>
        <v>2.72785282839839</v>
      </c>
      <c r="D12" s="1" t="n">
        <v>209</v>
      </c>
      <c r="E12" s="3" t="n">
        <f aca="false">D12+273</f>
        <v>482</v>
      </c>
      <c r="F12" s="3" t="n">
        <f aca="false">LN(D12)</f>
        <v>5.34233425196481</v>
      </c>
    </row>
    <row r="13" customFormat="false" ht="15.75" hidden="false" customHeight="false" outlineLevel="0" collapsed="false">
      <c r="A13" s="1"/>
      <c r="B13" s="2"/>
      <c r="C13" s="3"/>
      <c r="D13" s="1"/>
      <c r="E13" s="3"/>
      <c r="F13" s="3"/>
    </row>
    <row r="14" customFormat="false" ht="15.75" hidden="false" customHeight="false" outlineLevel="0" collapsed="false">
      <c r="A14" s="1" t="n">
        <v>180</v>
      </c>
      <c r="B14" s="2" t="n">
        <v>15.2</v>
      </c>
      <c r="C14" s="3" t="n">
        <f aca="false">LN(B14)</f>
        <v>2.72129542785223</v>
      </c>
      <c r="D14" s="1" t="n">
        <v>208</v>
      </c>
      <c r="E14" s="3" t="n">
        <f aca="false">D14+273</f>
        <v>481</v>
      </c>
      <c r="F14" s="3" t="n">
        <f aca="false">LN(D14)</f>
        <v>5.33753807970132</v>
      </c>
    </row>
    <row r="15" customFormat="false" ht="15.75" hidden="false" customHeight="false" outlineLevel="0" collapsed="false">
      <c r="A15" s="1"/>
      <c r="B15" s="2"/>
      <c r="C15" s="3"/>
      <c r="D15" s="1"/>
      <c r="E15" s="3"/>
      <c r="F15" s="3"/>
    </row>
    <row r="16" customFormat="false" ht="15.75" hidden="false" customHeight="false" outlineLevel="0" collapsed="false">
      <c r="A16" s="1" t="n">
        <v>210</v>
      </c>
      <c r="B16" s="2" t="n">
        <v>15.3</v>
      </c>
      <c r="C16" s="3" t="n">
        <f aca="false">LN(B16)</f>
        <v>2.72785282839839</v>
      </c>
      <c r="D16" s="1" t="n">
        <v>209</v>
      </c>
      <c r="E16" s="3" t="n">
        <f aca="false">D16+273</f>
        <v>482</v>
      </c>
      <c r="F16" s="3" t="n">
        <f aca="false">LN(D16)</f>
        <v>5.34233425196481</v>
      </c>
    </row>
    <row r="17" customFormat="false" ht="15.75" hidden="false" customHeight="false" outlineLevel="0" collapsed="false">
      <c r="A17" s="1"/>
      <c r="B17" s="2"/>
      <c r="C17" s="3"/>
      <c r="D17" s="1"/>
      <c r="E17" s="3"/>
      <c r="F17" s="3"/>
    </row>
    <row r="18" customFormat="false" ht="15.75" hidden="false" customHeight="false" outlineLevel="0" collapsed="false">
      <c r="A18" s="1" t="n">
        <v>240</v>
      </c>
      <c r="B18" s="2" t="n">
        <v>15.2</v>
      </c>
      <c r="C18" s="3" t="n">
        <f aca="false">LN(B18)</f>
        <v>2.72129542785223</v>
      </c>
      <c r="D18" s="1" t="n">
        <v>208</v>
      </c>
      <c r="E18" s="3" t="n">
        <f aca="false">D18+273</f>
        <v>481</v>
      </c>
      <c r="F18" s="3" t="n">
        <f aca="false">LN(D18)</f>
        <v>5.33753807970132</v>
      </c>
    </row>
    <row r="19" customFormat="false" ht="15.75" hidden="false" customHeight="false" outlineLevel="0" collapsed="false">
      <c r="A19" s="1"/>
      <c r="B19" s="2"/>
      <c r="C19" s="3"/>
      <c r="D19" s="1"/>
      <c r="E19" s="3"/>
      <c r="F19" s="3"/>
    </row>
    <row r="20" customFormat="false" ht="15.75" hidden="false" customHeight="false" outlineLevel="0" collapsed="false">
      <c r="A20" s="1" t="n">
        <v>270</v>
      </c>
      <c r="B20" s="2" t="n">
        <v>15.1</v>
      </c>
      <c r="C20" s="3" t="n">
        <f aca="false">LN(B20)</f>
        <v>2.71469474382088</v>
      </c>
      <c r="D20" s="1" t="n">
        <v>207</v>
      </c>
      <c r="E20" s="3" t="n">
        <f aca="false">D20+273</f>
        <v>480</v>
      </c>
      <c r="F20" s="3" t="n">
        <f aca="false">LN(D20)</f>
        <v>5.33271879326537</v>
      </c>
    </row>
    <row r="21" customFormat="false" ht="15.75" hidden="false" customHeight="false" outlineLevel="0" collapsed="false">
      <c r="A21" s="1"/>
      <c r="B21" s="2"/>
      <c r="C21" s="3"/>
      <c r="D21" s="1"/>
      <c r="E21" s="3"/>
      <c r="F21" s="3"/>
    </row>
    <row r="22" customFormat="false" ht="15.75" hidden="false" customHeight="false" outlineLevel="0" collapsed="false">
      <c r="A22" s="1" t="n">
        <v>300</v>
      </c>
      <c r="B22" s="2" t="n">
        <v>14.9</v>
      </c>
      <c r="C22" s="3" t="n">
        <f aca="false">LN(B22)</f>
        <v>2.70136121295141</v>
      </c>
      <c r="D22" s="1" t="n">
        <v>204</v>
      </c>
      <c r="E22" s="3" t="n">
        <f aca="false">D22+273</f>
        <v>477</v>
      </c>
      <c r="F22" s="3" t="n">
        <f aca="false">LN(D22)</f>
        <v>5.31811999384422</v>
      </c>
    </row>
    <row r="23" customFormat="false" ht="15.75" hidden="false" customHeight="false" outlineLevel="0" collapsed="false">
      <c r="A23" s="1"/>
      <c r="B23" s="2"/>
      <c r="C23" s="3"/>
      <c r="D23" s="1"/>
      <c r="E23" s="3"/>
      <c r="F23" s="3"/>
    </row>
    <row r="24" customFormat="false" ht="15.75" hidden="false" customHeight="false" outlineLevel="0" collapsed="false">
      <c r="A24" s="1" t="n">
        <v>330</v>
      </c>
      <c r="B24" s="2" t="n">
        <v>14.6</v>
      </c>
      <c r="C24" s="3" t="n">
        <f aca="false">LN(B24)</f>
        <v>2.68102152871429</v>
      </c>
      <c r="D24" s="1" t="n">
        <v>200</v>
      </c>
      <c r="E24" s="3" t="n">
        <f aca="false">D24+273</f>
        <v>473</v>
      </c>
      <c r="F24" s="3" t="n">
        <f aca="false">LN(D24)</f>
        <v>5.29831736654804</v>
      </c>
    </row>
    <row r="25" customFormat="false" ht="15.75" hidden="false" customHeight="false" outlineLevel="0" collapsed="false">
      <c r="A25" s="1"/>
      <c r="B25" s="2"/>
      <c r="C25" s="3"/>
      <c r="D25" s="1"/>
      <c r="E25" s="3"/>
      <c r="F25" s="3"/>
    </row>
    <row r="26" customFormat="false" ht="15.75" hidden="false" customHeight="false" outlineLevel="0" collapsed="false">
      <c r="A26" s="1" t="n">
        <v>360</v>
      </c>
      <c r="B26" s="2" t="n">
        <v>13.8</v>
      </c>
      <c r="C26" s="3" t="n">
        <f aca="false">LN(B26)</f>
        <v>2.62466859216316</v>
      </c>
      <c r="D26" s="1" t="n">
        <v>191</v>
      </c>
      <c r="E26" s="3" t="n">
        <f aca="false">D26+273</f>
        <v>464</v>
      </c>
      <c r="F26" s="3" t="n">
        <f aca="false">LN(D26)</f>
        <v>5.25227342804663</v>
      </c>
    </row>
    <row r="27" customFormat="false" ht="15.75" hidden="false" customHeight="false" outlineLevel="0" collapsed="false">
      <c r="A27" s="1"/>
      <c r="B27" s="2"/>
      <c r="C27" s="3"/>
      <c r="D27" s="1"/>
      <c r="E27" s="3"/>
      <c r="F27" s="3"/>
    </row>
    <row r="28" customFormat="false" ht="15.75" hidden="false" customHeight="false" outlineLevel="0" collapsed="false">
      <c r="A28" s="1" t="n">
        <v>390</v>
      </c>
      <c r="B28" s="2" t="n">
        <v>12.9</v>
      </c>
      <c r="C28" s="3" t="n">
        <f aca="false">LN(B28)</f>
        <v>2.55722731136763</v>
      </c>
      <c r="D28" s="1" t="n">
        <v>179</v>
      </c>
      <c r="E28" s="3" t="n">
        <f aca="false">D28+273</f>
        <v>452</v>
      </c>
      <c r="F28" s="3" t="n">
        <f aca="false">LN(D28)</f>
        <v>5.18738580584076</v>
      </c>
    </row>
    <row r="29" customFormat="false" ht="15.75" hidden="false" customHeight="false" outlineLevel="0" collapsed="false">
      <c r="A29" s="1"/>
      <c r="B29" s="2"/>
      <c r="C29" s="3"/>
      <c r="D29" s="1"/>
      <c r="E29" s="3"/>
      <c r="F29" s="3"/>
    </row>
    <row r="30" customFormat="false" ht="15.75" hidden="false" customHeight="false" outlineLevel="0" collapsed="false">
      <c r="A30" s="1" t="n">
        <v>420</v>
      </c>
      <c r="B30" s="2" t="n">
        <v>11.9</v>
      </c>
      <c r="C30" s="3" t="n">
        <f aca="false">LN(B30)</f>
        <v>2.47653840011748</v>
      </c>
      <c r="D30" s="1" t="n">
        <v>167</v>
      </c>
      <c r="E30" s="3" t="n">
        <f aca="false">D30+273</f>
        <v>440</v>
      </c>
      <c r="F30" s="3" t="n">
        <f aca="false">LN(D30)</f>
        <v>5.11799381241676</v>
      </c>
    </row>
    <row r="31" customFormat="false" ht="15.75" hidden="false" customHeight="false" outlineLevel="0" collapsed="false">
      <c r="A31" s="1"/>
      <c r="B31" s="2"/>
      <c r="C31" s="3"/>
      <c r="D31" s="1"/>
      <c r="E31" s="3"/>
      <c r="F31" s="3"/>
    </row>
    <row r="32" customFormat="false" ht="15.75" hidden="false" customHeight="false" outlineLevel="0" collapsed="false">
      <c r="A32" s="1" t="n">
        <v>450</v>
      </c>
      <c r="B32" s="2" t="n">
        <v>11.1</v>
      </c>
      <c r="C32" s="3" t="n">
        <f aca="false">LN(B32)</f>
        <v>2.40694510831829</v>
      </c>
      <c r="D32" s="1" t="n">
        <v>156</v>
      </c>
      <c r="E32" s="3" t="n">
        <f aca="false">D32+273</f>
        <v>429</v>
      </c>
      <c r="F32" s="3" t="n">
        <f aca="false">LN(D32)</f>
        <v>5.04985600724954</v>
      </c>
    </row>
    <row r="33" customFormat="false" ht="15.75" hidden="false" customHeight="false" outlineLevel="0" collapsed="false">
      <c r="A33" s="1"/>
      <c r="B33" s="2"/>
      <c r="C33" s="3"/>
      <c r="D33" s="1"/>
      <c r="E33" s="3"/>
      <c r="F33" s="3"/>
    </row>
    <row r="34" customFormat="false" ht="15.75" hidden="false" customHeight="false" outlineLevel="0" collapsed="false">
      <c r="A34" s="1" t="n">
        <v>480</v>
      </c>
      <c r="B34" s="2" t="n">
        <v>10.3</v>
      </c>
      <c r="C34" s="3" t="n">
        <f aca="false">LN(B34)</f>
        <v>2.33214389523559</v>
      </c>
      <c r="D34" s="1" t="n">
        <v>146</v>
      </c>
      <c r="E34" s="3" t="n">
        <f aca="false">D34+273</f>
        <v>419</v>
      </c>
      <c r="F34" s="3" t="n">
        <f aca="false">LN(D34)</f>
        <v>4.98360662170834</v>
      </c>
    </row>
    <row r="35" customFormat="false" ht="15.75" hidden="false" customHeight="false" outlineLevel="0" collapsed="false">
      <c r="A35" s="1"/>
      <c r="B35" s="2"/>
      <c r="C35" s="3"/>
      <c r="D35" s="1"/>
      <c r="E35" s="3"/>
      <c r="F35" s="3"/>
    </row>
    <row r="36" customFormat="false" ht="15.75" hidden="false" customHeight="false" outlineLevel="0" collapsed="false">
      <c r="A36" s="1" t="n">
        <v>510</v>
      </c>
      <c r="B36" s="2" t="n">
        <v>9.7</v>
      </c>
      <c r="C36" s="3" t="n">
        <f aca="false">LN(B36)</f>
        <v>2.27212588550934</v>
      </c>
      <c r="D36" s="1" t="n">
        <v>138</v>
      </c>
      <c r="E36" s="3" t="n">
        <f aca="false">D36+273</f>
        <v>411</v>
      </c>
      <c r="F36" s="3" t="n">
        <f aca="false">LN(D36)</f>
        <v>4.92725368515721</v>
      </c>
    </row>
    <row r="37" customFormat="false" ht="15.75" hidden="false" customHeight="false" outlineLevel="0" collapsed="false">
      <c r="A37" s="1"/>
      <c r="B37" s="2"/>
      <c r="C37" s="3"/>
      <c r="D37" s="1"/>
      <c r="E37" s="3"/>
      <c r="F37" s="3"/>
    </row>
    <row r="38" customFormat="false" ht="15.75" hidden="false" customHeight="false" outlineLevel="0" collapsed="false">
      <c r="A38" s="1" t="n">
        <v>540</v>
      </c>
      <c r="B38" s="2" t="n">
        <v>9.1</v>
      </c>
      <c r="C38" s="3" t="n">
        <f aca="false">LN(B38)</f>
        <v>2.2082744135228</v>
      </c>
      <c r="D38" s="1" t="n">
        <v>130</v>
      </c>
      <c r="E38" s="3" t="n">
        <f aca="false">D38+273</f>
        <v>403</v>
      </c>
      <c r="F38" s="3" t="n">
        <f aca="false">LN(D38)</f>
        <v>4.86753445045558</v>
      </c>
    </row>
    <row r="39" customFormat="false" ht="15.75" hidden="false" customHeight="false" outlineLevel="0" collapsed="false">
      <c r="A39" s="1"/>
      <c r="B39" s="2"/>
      <c r="C39" s="3"/>
      <c r="D39" s="1"/>
      <c r="E39" s="3"/>
      <c r="F39" s="3"/>
    </row>
    <row r="40" customFormat="false" ht="15.75" hidden="false" customHeight="false" outlineLevel="0" collapsed="false">
      <c r="A40" s="1" t="n">
        <v>570</v>
      </c>
      <c r="B40" s="2" t="n">
        <v>8.5</v>
      </c>
      <c r="C40" s="3" t="n">
        <f aca="false">LN(B40)</f>
        <v>2.14006616349627</v>
      </c>
      <c r="D40" s="1" t="n">
        <v>122</v>
      </c>
      <c r="E40" s="3" t="n">
        <f aca="false">D40+273</f>
        <v>395</v>
      </c>
      <c r="F40" s="3" t="n">
        <f aca="false">LN(D40)</f>
        <v>4.80402104473326</v>
      </c>
    </row>
    <row r="41" customFormat="false" ht="15.75" hidden="false" customHeight="false" outlineLevel="0" collapsed="false">
      <c r="A41" s="1"/>
      <c r="B41" s="2"/>
      <c r="C41" s="3"/>
      <c r="D41" s="1"/>
      <c r="E41" s="3"/>
      <c r="F41" s="3"/>
    </row>
    <row r="42" customFormat="false" ht="15.75" hidden="false" customHeight="false" outlineLevel="0" collapsed="false">
      <c r="A42" s="1" t="n">
        <v>600</v>
      </c>
      <c r="B42" s="2" t="n">
        <v>8</v>
      </c>
      <c r="C42" s="3" t="n">
        <f aca="false">LN(B42)</f>
        <v>2.07944154167984</v>
      </c>
      <c r="D42" s="1" t="n">
        <v>115</v>
      </c>
      <c r="E42" s="3" t="n">
        <f aca="false">D42+273</f>
        <v>388</v>
      </c>
      <c r="F42" s="3" t="n">
        <f aca="false">LN(D42)</f>
        <v>4.74493212836325</v>
      </c>
    </row>
    <row r="43" customFormat="false" ht="15.75" hidden="false" customHeight="false" outlineLevel="0" collapsed="false">
      <c r="A43" s="1"/>
      <c r="B43" s="2"/>
      <c r="C43" s="3"/>
      <c r="D43" s="1"/>
      <c r="E43" s="3"/>
      <c r="F43" s="3"/>
    </row>
    <row r="44" customFormat="false" ht="15.75" hidden="false" customHeight="false" outlineLevel="0" collapsed="false">
      <c r="A44" s="1" t="n">
        <v>630</v>
      </c>
      <c r="B44" s="2" t="n">
        <v>7.4</v>
      </c>
      <c r="C44" s="3" t="n">
        <f aca="false">LN(B44)</f>
        <v>2.00148000021012</v>
      </c>
      <c r="D44" s="1" t="n">
        <v>107</v>
      </c>
      <c r="E44" s="3" t="n">
        <f aca="false">D44+273</f>
        <v>380</v>
      </c>
      <c r="F44" s="3" t="n">
        <f aca="false">LN(D44)</f>
        <v>4.67282883446191</v>
      </c>
    </row>
    <row r="45" customFormat="false" ht="15.75" hidden="false" customHeight="false" outlineLevel="0" collapsed="false">
      <c r="A45" s="1"/>
      <c r="B45" s="2"/>
      <c r="C45" s="3"/>
      <c r="D45" s="1"/>
      <c r="E45" s="3"/>
      <c r="F45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2026-05-16T12:09:31Z</dcterms:modified>
  <cp:revision>1</cp:revision>
  <dc:subject/>
  <dc:title/>
</cp:coreProperties>
</file>