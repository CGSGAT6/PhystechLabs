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<sst xmlns="http://schemas.openxmlformats.org/spreadsheetml/2006/main" count="8" uniqueCount="8">
  <si>
    <t>t, с</t>
  </si>
  <si>
    <t>E, мВ</t>
  </si>
  <si>
    <t>ln(E)</t>
  </si>
  <si>
    <t>T - T0, C</t>
  </si>
  <si>
    <t>T - T0, K</t>
  </si>
  <si>
    <t>ln(T - T0)</t>
  </si>
  <si>
    <t>T0, C</t>
  </si>
  <si>
    <t>\Delta T0,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</si>
</sst>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E, мВ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Sheet1!$A$2:$A$70</c:f>
            </c:strRef>
          </c:cat>
          <c:val>
            <c:numRef>
              <c:f>Sheet1!$B$2:$B$70</c:f>
              <c:numCache/>
            </c:numRef>
          </c:val>
          <c:smooth val="0"/>
        </c:ser>
        <c:axId val="800294770"/>
        <c:axId val="2095586438"/>
      </c:lineChart>
      <c:catAx>
        <c:axId val="8002947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5586438"/>
      </c:catAx>
      <c:valAx>
        <c:axId val="20955864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E, мВ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02947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ln(E)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Sheet1!$A$2:$A$70</c:f>
            </c:strRef>
          </c:cat>
          <c:val>
            <c:numRef>
              <c:f>Sheet1!$C$2:$C$70</c:f>
              <c:numCache/>
            </c:numRef>
          </c:val>
          <c:smooth val="0"/>
        </c:ser>
        <c:axId val="1931479405"/>
        <c:axId val="2032705633"/>
      </c:lineChart>
      <c:catAx>
        <c:axId val="19314794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2705633"/>
      </c:catAx>
      <c:valAx>
        <c:axId val="20327056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E, мВ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14794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ln(E)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Sheet1!$A$2:$A$70</c:f>
            </c:strRef>
          </c:cat>
          <c:val>
            <c:numRef>
              <c:f>Sheet1!$D$2:$D$45</c:f>
              <c:numCache/>
            </c:numRef>
          </c:val>
          <c:smooth val="0"/>
        </c:ser>
        <c:axId val="154751574"/>
        <c:axId val="1384205372"/>
      </c:lineChart>
      <c:catAx>
        <c:axId val="1547515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4205372"/>
      </c:catAx>
      <c:valAx>
        <c:axId val="1384205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E, мВ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7515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E, мВ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Sheet1!$A$2:$A$70</c:f>
            </c:strRef>
          </c:cat>
          <c:val>
            <c:numRef>
              <c:f>Sheet1!$F$2:$F$45</c:f>
              <c:numCache/>
            </c:numRef>
          </c:val>
          <c:smooth val="0"/>
        </c:ser>
        <c:axId val="790199747"/>
        <c:axId val="822232953"/>
      </c:lineChart>
      <c:catAx>
        <c:axId val="7901997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2232953"/>
      </c:catAx>
      <c:valAx>
        <c:axId val="8222329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E, мВ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01997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876300</xdr:colOff>
      <xdr:row>8</xdr:row>
      <xdr:rowOff>114300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533400</xdr:colOff>
      <xdr:row>8</xdr:row>
      <xdr:rowOff>114300</xdr:rowOff>
    </xdr:from>
    <xdr:ext cx="5715000" cy="34004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533400</xdr:colOff>
      <xdr:row>25</xdr:row>
      <xdr:rowOff>200025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17</xdr:col>
      <xdr:colOff>114300</xdr:colOff>
      <xdr:row>25</xdr:row>
      <xdr:rowOff>133350</xdr:rowOff>
    </xdr:from>
    <xdr:ext cx="5562600" cy="3295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>
        <v>0.0</v>
      </c>
      <c r="B2" s="3">
        <v>19.2</v>
      </c>
      <c r="C2" s="4">
        <f t="shared" ref="C2:C45" si="1">LN(B2)</f>
        <v>2.954910279</v>
      </c>
      <c r="G2" s="1">
        <v>22.0</v>
      </c>
      <c r="H2" s="1">
        <v>1.0</v>
      </c>
    </row>
    <row r="3">
      <c r="A3" s="1">
        <v>15.0</v>
      </c>
      <c r="B3" s="3">
        <v>18.4</v>
      </c>
      <c r="C3" s="4">
        <f t="shared" si="1"/>
        <v>2.912350665</v>
      </c>
    </row>
    <row r="4">
      <c r="A4" s="1">
        <v>30.0</v>
      </c>
      <c r="B4" s="3">
        <v>17.7</v>
      </c>
      <c r="C4" s="4">
        <f t="shared" si="1"/>
        <v>2.87356464</v>
      </c>
      <c r="D4" s="1">
        <v>238.0</v>
      </c>
      <c r="E4" s="4">
        <f t="shared" ref="E4:E45" si="2">D4+273</f>
        <v>511</v>
      </c>
      <c r="F4" s="4">
        <f t="shared" ref="F4:F45" si="3">ln(D4)</f>
        <v>5.472270674</v>
      </c>
    </row>
    <row r="5">
      <c r="A5" s="1">
        <v>45.0</v>
      </c>
      <c r="B5" s="3">
        <v>17.0</v>
      </c>
      <c r="C5" s="4">
        <f t="shared" si="1"/>
        <v>2.833213344</v>
      </c>
      <c r="D5" s="1">
        <v>230.0</v>
      </c>
      <c r="E5" s="4">
        <f t="shared" si="2"/>
        <v>503</v>
      </c>
      <c r="F5" s="4">
        <f t="shared" si="3"/>
        <v>5.438079309</v>
      </c>
    </row>
    <row r="6">
      <c r="A6" s="1">
        <v>60.0</v>
      </c>
      <c r="B6" s="3">
        <v>16.4</v>
      </c>
      <c r="C6" s="4">
        <f t="shared" si="1"/>
        <v>2.797281335</v>
      </c>
      <c r="D6" s="1">
        <v>222.0</v>
      </c>
      <c r="E6" s="4">
        <f t="shared" si="2"/>
        <v>495</v>
      </c>
      <c r="F6" s="4">
        <f t="shared" si="3"/>
        <v>5.402677382</v>
      </c>
    </row>
    <row r="7">
      <c r="A7" s="1">
        <v>75.0</v>
      </c>
      <c r="B7" s="3">
        <v>15.8</v>
      </c>
      <c r="C7" s="4">
        <f t="shared" si="1"/>
        <v>2.76000994</v>
      </c>
      <c r="D7" s="1">
        <v>215.0</v>
      </c>
      <c r="E7" s="4">
        <f t="shared" si="2"/>
        <v>488</v>
      </c>
      <c r="F7" s="4">
        <f t="shared" si="3"/>
        <v>5.370638028</v>
      </c>
    </row>
    <row r="8">
      <c r="A8" s="1">
        <v>90.0</v>
      </c>
      <c r="B8" s="3">
        <v>15.2</v>
      </c>
      <c r="C8" s="4">
        <f t="shared" si="1"/>
        <v>2.721295428</v>
      </c>
      <c r="D8" s="1">
        <v>208.0</v>
      </c>
      <c r="E8" s="4">
        <f t="shared" si="2"/>
        <v>481</v>
      </c>
      <c r="F8" s="4">
        <f t="shared" si="3"/>
        <v>5.33753808</v>
      </c>
    </row>
    <row r="9">
      <c r="A9" s="1">
        <v>105.0</v>
      </c>
      <c r="B9" s="3">
        <v>15.3</v>
      </c>
      <c r="C9" s="4">
        <f t="shared" si="1"/>
        <v>2.727852828</v>
      </c>
      <c r="D9" s="1">
        <v>209.0</v>
      </c>
      <c r="E9" s="4">
        <f t="shared" si="2"/>
        <v>482</v>
      </c>
      <c r="F9" s="4">
        <f t="shared" si="3"/>
        <v>5.342334252</v>
      </c>
    </row>
    <row r="10">
      <c r="A10" s="1">
        <v>120.0</v>
      </c>
      <c r="B10" s="3">
        <v>15.4</v>
      </c>
      <c r="C10" s="4">
        <f t="shared" si="1"/>
        <v>2.734367509</v>
      </c>
      <c r="D10" s="1">
        <v>210.0</v>
      </c>
      <c r="E10" s="4">
        <f t="shared" si="2"/>
        <v>483</v>
      </c>
      <c r="F10" s="4">
        <f t="shared" si="3"/>
        <v>5.347107531</v>
      </c>
    </row>
    <row r="11">
      <c r="A11" s="1">
        <v>135.0</v>
      </c>
      <c r="B11" s="3">
        <v>15.3</v>
      </c>
      <c r="C11" s="4">
        <f t="shared" si="1"/>
        <v>2.727852828</v>
      </c>
      <c r="D11" s="1">
        <v>209.0</v>
      </c>
      <c r="E11" s="4">
        <f t="shared" si="2"/>
        <v>482</v>
      </c>
      <c r="F11" s="4">
        <f t="shared" si="3"/>
        <v>5.342334252</v>
      </c>
    </row>
    <row r="12">
      <c r="A12" s="1">
        <v>150.0</v>
      </c>
      <c r="B12" s="3">
        <v>15.3</v>
      </c>
      <c r="C12" s="4">
        <f t="shared" si="1"/>
        <v>2.727852828</v>
      </c>
      <c r="D12" s="1">
        <v>209.0</v>
      </c>
      <c r="E12" s="4">
        <f t="shared" si="2"/>
        <v>482</v>
      </c>
      <c r="F12" s="4">
        <f t="shared" si="3"/>
        <v>5.342334252</v>
      </c>
    </row>
    <row r="13">
      <c r="A13" s="1">
        <v>165.0</v>
      </c>
      <c r="B13" s="3">
        <v>15.3</v>
      </c>
      <c r="C13" s="4">
        <f t="shared" si="1"/>
        <v>2.727852828</v>
      </c>
      <c r="D13" s="1">
        <v>209.0</v>
      </c>
      <c r="E13" s="4">
        <f t="shared" si="2"/>
        <v>482</v>
      </c>
      <c r="F13" s="4">
        <f t="shared" si="3"/>
        <v>5.342334252</v>
      </c>
    </row>
    <row r="14">
      <c r="A14" s="1">
        <v>180.0</v>
      </c>
      <c r="B14" s="3">
        <v>15.2</v>
      </c>
      <c r="C14" s="4">
        <f t="shared" si="1"/>
        <v>2.721295428</v>
      </c>
      <c r="D14" s="1">
        <v>208.0</v>
      </c>
      <c r="E14" s="4">
        <f t="shared" si="2"/>
        <v>481</v>
      </c>
      <c r="F14" s="4">
        <f t="shared" si="3"/>
        <v>5.33753808</v>
      </c>
    </row>
    <row r="15">
      <c r="A15" s="1">
        <v>195.0</v>
      </c>
      <c r="B15" s="3">
        <v>15.2</v>
      </c>
      <c r="C15" s="4">
        <f t="shared" si="1"/>
        <v>2.721295428</v>
      </c>
      <c r="D15" s="1">
        <v>208.0</v>
      </c>
      <c r="E15" s="4">
        <f t="shared" si="2"/>
        <v>481</v>
      </c>
      <c r="F15" s="4">
        <f t="shared" si="3"/>
        <v>5.33753808</v>
      </c>
    </row>
    <row r="16">
      <c r="A16" s="1">
        <v>210.0</v>
      </c>
      <c r="B16" s="3">
        <v>15.3</v>
      </c>
      <c r="C16" s="4">
        <f t="shared" si="1"/>
        <v>2.727852828</v>
      </c>
      <c r="D16" s="1">
        <v>209.0</v>
      </c>
      <c r="E16" s="4">
        <f t="shared" si="2"/>
        <v>482</v>
      </c>
      <c r="F16" s="4">
        <f t="shared" si="3"/>
        <v>5.342334252</v>
      </c>
    </row>
    <row r="17">
      <c r="A17" s="1">
        <v>225.0</v>
      </c>
      <c r="B17" s="3">
        <v>15.2</v>
      </c>
      <c r="C17" s="4">
        <f t="shared" si="1"/>
        <v>2.721295428</v>
      </c>
      <c r="D17" s="1">
        <v>208.0</v>
      </c>
      <c r="E17" s="4">
        <f t="shared" si="2"/>
        <v>481</v>
      </c>
      <c r="F17" s="4">
        <f t="shared" si="3"/>
        <v>5.33753808</v>
      </c>
    </row>
    <row r="18">
      <c r="A18" s="1">
        <v>240.0</v>
      </c>
      <c r="B18" s="3">
        <v>15.2</v>
      </c>
      <c r="C18" s="4">
        <f t="shared" si="1"/>
        <v>2.721295428</v>
      </c>
      <c r="D18" s="1">
        <v>208.0</v>
      </c>
      <c r="E18" s="4">
        <f t="shared" si="2"/>
        <v>481</v>
      </c>
      <c r="F18" s="4">
        <f t="shared" si="3"/>
        <v>5.33753808</v>
      </c>
    </row>
    <row r="19">
      <c r="A19" s="1">
        <v>255.0</v>
      </c>
      <c r="B19" s="3">
        <v>15.1</v>
      </c>
      <c r="C19" s="4">
        <f t="shared" si="1"/>
        <v>2.714694744</v>
      </c>
      <c r="D19" s="1">
        <v>207.0</v>
      </c>
      <c r="E19" s="4">
        <f t="shared" si="2"/>
        <v>480</v>
      </c>
      <c r="F19" s="4">
        <f t="shared" si="3"/>
        <v>5.332718793</v>
      </c>
    </row>
    <row r="20">
      <c r="A20" s="1">
        <v>270.0</v>
      </c>
      <c r="B20" s="3">
        <v>15.1</v>
      </c>
      <c r="C20" s="4">
        <f t="shared" si="1"/>
        <v>2.714694744</v>
      </c>
      <c r="D20" s="1">
        <v>207.0</v>
      </c>
      <c r="E20" s="4">
        <f t="shared" si="2"/>
        <v>480</v>
      </c>
      <c r="F20" s="4">
        <f t="shared" si="3"/>
        <v>5.332718793</v>
      </c>
    </row>
    <row r="21">
      <c r="A21" s="1">
        <v>285.0</v>
      </c>
      <c r="B21" s="3">
        <v>15.0</v>
      </c>
      <c r="C21" s="4">
        <f t="shared" si="1"/>
        <v>2.708050201</v>
      </c>
      <c r="D21" s="1">
        <v>205.0</v>
      </c>
      <c r="E21" s="4">
        <f t="shared" si="2"/>
        <v>478</v>
      </c>
      <c r="F21" s="4">
        <f t="shared" si="3"/>
        <v>5.323009979</v>
      </c>
    </row>
    <row r="22">
      <c r="A22" s="1">
        <v>300.0</v>
      </c>
      <c r="B22" s="3">
        <v>14.9</v>
      </c>
      <c r="C22" s="4">
        <f t="shared" si="1"/>
        <v>2.701361213</v>
      </c>
      <c r="D22" s="1">
        <v>204.0</v>
      </c>
      <c r="E22" s="4">
        <f t="shared" si="2"/>
        <v>477</v>
      </c>
      <c r="F22" s="4">
        <f t="shared" si="3"/>
        <v>5.318119994</v>
      </c>
    </row>
    <row r="23">
      <c r="A23" s="1">
        <v>315.0</v>
      </c>
      <c r="B23" s="3">
        <v>14.8</v>
      </c>
      <c r="C23" s="4">
        <f t="shared" si="1"/>
        <v>2.694627181</v>
      </c>
      <c r="D23" s="1">
        <v>203.0</v>
      </c>
      <c r="E23" s="4">
        <f t="shared" si="2"/>
        <v>476</v>
      </c>
      <c r="F23" s="4">
        <f t="shared" si="3"/>
        <v>5.313205979</v>
      </c>
    </row>
    <row r="24">
      <c r="A24" s="1">
        <v>330.0</v>
      </c>
      <c r="B24" s="3">
        <v>14.6</v>
      </c>
      <c r="C24" s="4">
        <f t="shared" si="1"/>
        <v>2.681021529</v>
      </c>
      <c r="D24" s="1">
        <v>200.0</v>
      </c>
      <c r="E24" s="4">
        <f t="shared" si="2"/>
        <v>473</v>
      </c>
      <c r="F24" s="4">
        <f t="shared" si="3"/>
        <v>5.298317367</v>
      </c>
    </row>
    <row r="25">
      <c r="A25" s="1">
        <v>345.0</v>
      </c>
      <c r="B25" s="3">
        <v>14.3</v>
      </c>
      <c r="C25" s="4">
        <f t="shared" si="1"/>
        <v>2.660259537</v>
      </c>
      <c r="D25" s="1">
        <v>197.0</v>
      </c>
      <c r="E25" s="4">
        <f t="shared" si="2"/>
        <v>470</v>
      </c>
      <c r="F25" s="4">
        <f t="shared" si="3"/>
        <v>5.283203729</v>
      </c>
    </row>
    <row r="26">
      <c r="A26" s="1">
        <v>360.0</v>
      </c>
      <c r="B26" s="3">
        <v>13.8</v>
      </c>
      <c r="C26" s="4">
        <f t="shared" si="1"/>
        <v>2.624668592</v>
      </c>
      <c r="D26" s="1">
        <v>191.0</v>
      </c>
      <c r="E26" s="4">
        <f t="shared" si="2"/>
        <v>464</v>
      </c>
      <c r="F26" s="4">
        <f t="shared" si="3"/>
        <v>5.252273428</v>
      </c>
    </row>
    <row r="27">
      <c r="A27" s="1">
        <v>375.0</v>
      </c>
      <c r="B27" s="3">
        <v>13.4</v>
      </c>
      <c r="C27" s="4">
        <f t="shared" si="1"/>
        <v>2.595254707</v>
      </c>
      <c r="D27" s="1">
        <v>186.0</v>
      </c>
      <c r="E27" s="4">
        <f t="shared" si="2"/>
        <v>459</v>
      </c>
      <c r="F27" s="4">
        <f t="shared" si="3"/>
        <v>5.225746674</v>
      </c>
    </row>
    <row r="28">
      <c r="A28" s="1">
        <v>390.0</v>
      </c>
      <c r="B28" s="3">
        <v>12.9</v>
      </c>
      <c r="C28" s="4">
        <f t="shared" si="1"/>
        <v>2.557227311</v>
      </c>
      <c r="D28" s="1">
        <v>179.0</v>
      </c>
      <c r="E28" s="4">
        <f t="shared" si="2"/>
        <v>452</v>
      </c>
      <c r="F28" s="4">
        <f t="shared" si="3"/>
        <v>5.187385806</v>
      </c>
    </row>
    <row r="29">
      <c r="A29" s="1">
        <v>405.0</v>
      </c>
      <c r="B29" s="3">
        <v>12.4</v>
      </c>
      <c r="C29" s="4">
        <f t="shared" si="1"/>
        <v>2.517696473</v>
      </c>
      <c r="D29" s="1">
        <v>173.0</v>
      </c>
      <c r="E29" s="4">
        <f t="shared" si="2"/>
        <v>446</v>
      </c>
      <c r="F29" s="4">
        <f t="shared" si="3"/>
        <v>5.153291594</v>
      </c>
    </row>
    <row r="30">
      <c r="A30" s="1">
        <v>420.0</v>
      </c>
      <c r="B30" s="3">
        <v>11.9</v>
      </c>
      <c r="C30" s="4">
        <f t="shared" si="1"/>
        <v>2.4765384</v>
      </c>
      <c r="D30" s="1">
        <v>167.0</v>
      </c>
      <c r="E30" s="4">
        <f t="shared" si="2"/>
        <v>440</v>
      </c>
      <c r="F30" s="4">
        <f t="shared" si="3"/>
        <v>5.117993812</v>
      </c>
    </row>
    <row r="31">
      <c r="A31" s="1">
        <v>435.0</v>
      </c>
      <c r="B31" s="3">
        <v>11.5</v>
      </c>
      <c r="C31" s="4">
        <f t="shared" si="1"/>
        <v>2.442347035</v>
      </c>
      <c r="D31" s="1">
        <v>161.0</v>
      </c>
      <c r="E31" s="4">
        <f t="shared" si="2"/>
        <v>434</v>
      </c>
      <c r="F31" s="4">
        <f t="shared" si="3"/>
        <v>5.081404365</v>
      </c>
    </row>
    <row r="32">
      <c r="A32" s="1">
        <v>450.0</v>
      </c>
      <c r="B32" s="3">
        <v>11.1</v>
      </c>
      <c r="C32" s="4">
        <f t="shared" si="1"/>
        <v>2.406945108</v>
      </c>
      <c r="D32" s="1">
        <v>156.0</v>
      </c>
      <c r="E32" s="4">
        <f t="shared" si="2"/>
        <v>429</v>
      </c>
      <c r="F32" s="4">
        <f t="shared" si="3"/>
        <v>5.049856007</v>
      </c>
    </row>
    <row r="33">
      <c r="A33" s="1">
        <v>465.0</v>
      </c>
      <c r="B33" s="3">
        <v>10.7</v>
      </c>
      <c r="C33" s="4">
        <f t="shared" si="1"/>
        <v>2.370243741</v>
      </c>
      <c r="D33" s="1">
        <v>151.0</v>
      </c>
      <c r="E33" s="4">
        <f t="shared" si="2"/>
        <v>424</v>
      </c>
      <c r="F33" s="4">
        <f t="shared" si="3"/>
        <v>5.017279837</v>
      </c>
    </row>
    <row r="34">
      <c r="A34" s="1">
        <v>480.0</v>
      </c>
      <c r="B34" s="3">
        <v>10.3</v>
      </c>
      <c r="C34" s="4">
        <f t="shared" si="1"/>
        <v>2.332143895</v>
      </c>
      <c r="D34" s="1">
        <v>146.0</v>
      </c>
      <c r="E34" s="4">
        <f t="shared" si="2"/>
        <v>419</v>
      </c>
      <c r="F34" s="4">
        <f t="shared" si="3"/>
        <v>4.983606622</v>
      </c>
    </row>
    <row r="35">
      <c r="A35" s="1">
        <v>495.0</v>
      </c>
      <c r="B35" s="3">
        <v>10.0</v>
      </c>
      <c r="C35" s="4">
        <f t="shared" si="1"/>
        <v>2.302585093</v>
      </c>
      <c r="D35" s="1">
        <v>142.0</v>
      </c>
      <c r="E35" s="4">
        <f t="shared" si="2"/>
        <v>415</v>
      </c>
      <c r="F35" s="4">
        <f t="shared" si="3"/>
        <v>4.955827058</v>
      </c>
    </row>
    <row r="36">
      <c r="A36" s="1">
        <v>510.0</v>
      </c>
      <c r="B36" s="3">
        <v>9.7</v>
      </c>
      <c r="C36" s="4">
        <f t="shared" si="1"/>
        <v>2.272125886</v>
      </c>
      <c r="D36" s="1">
        <v>138.0</v>
      </c>
      <c r="E36" s="4">
        <f t="shared" si="2"/>
        <v>411</v>
      </c>
      <c r="F36" s="4">
        <f t="shared" si="3"/>
        <v>4.927253685</v>
      </c>
    </row>
    <row r="37">
      <c r="A37" s="1">
        <v>525.0</v>
      </c>
      <c r="B37" s="3">
        <v>9.4</v>
      </c>
      <c r="C37" s="4">
        <f t="shared" si="1"/>
        <v>2.240709689</v>
      </c>
      <c r="D37" s="1">
        <v>134.0</v>
      </c>
      <c r="E37" s="4">
        <f t="shared" si="2"/>
        <v>407</v>
      </c>
      <c r="F37" s="4">
        <f t="shared" si="3"/>
        <v>4.8978398</v>
      </c>
    </row>
    <row r="38">
      <c r="A38" s="1">
        <v>540.0</v>
      </c>
      <c r="B38" s="3">
        <v>9.1</v>
      </c>
      <c r="C38" s="4">
        <f t="shared" si="1"/>
        <v>2.208274414</v>
      </c>
      <c r="D38" s="1">
        <v>130.0</v>
      </c>
      <c r="E38" s="4">
        <f t="shared" si="2"/>
        <v>403</v>
      </c>
      <c r="F38" s="4">
        <f t="shared" si="3"/>
        <v>4.86753445</v>
      </c>
    </row>
    <row r="39">
      <c r="A39" s="1">
        <v>555.0</v>
      </c>
      <c r="B39" s="3">
        <v>8.8</v>
      </c>
      <c r="C39" s="4">
        <f t="shared" si="1"/>
        <v>2.174751721</v>
      </c>
      <c r="D39" s="1">
        <v>126.0</v>
      </c>
      <c r="E39" s="4">
        <f t="shared" si="2"/>
        <v>399</v>
      </c>
      <c r="F39" s="4">
        <f t="shared" si="3"/>
        <v>4.836281907</v>
      </c>
    </row>
    <row r="40">
      <c r="A40" s="1">
        <v>570.0</v>
      </c>
      <c r="B40" s="3">
        <v>8.5</v>
      </c>
      <c r="C40" s="4">
        <f t="shared" si="1"/>
        <v>2.140066163</v>
      </c>
      <c r="D40" s="1">
        <v>122.0</v>
      </c>
      <c r="E40" s="4">
        <f t="shared" si="2"/>
        <v>395</v>
      </c>
      <c r="F40" s="4">
        <f t="shared" si="3"/>
        <v>4.804021045</v>
      </c>
    </row>
    <row r="41">
      <c r="A41" s="1">
        <v>585.0</v>
      </c>
      <c r="B41" s="3">
        <v>8.2</v>
      </c>
      <c r="C41" s="4">
        <f t="shared" si="1"/>
        <v>2.104134154</v>
      </c>
      <c r="D41" s="1">
        <v>118.0</v>
      </c>
      <c r="E41" s="4">
        <f t="shared" si="2"/>
        <v>391</v>
      </c>
      <c r="F41" s="4">
        <f t="shared" si="3"/>
        <v>4.770684624</v>
      </c>
    </row>
    <row r="42">
      <c r="A42" s="1">
        <v>600.0</v>
      </c>
      <c r="B42" s="3">
        <v>8.0</v>
      </c>
      <c r="C42" s="4">
        <f t="shared" si="1"/>
        <v>2.079441542</v>
      </c>
      <c r="D42" s="1">
        <v>115.0</v>
      </c>
      <c r="E42" s="4">
        <f t="shared" si="2"/>
        <v>388</v>
      </c>
      <c r="F42" s="4">
        <f t="shared" si="3"/>
        <v>4.744932128</v>
      </c>
    </row>
    <row r="43">
      <c r="A43" s="1">
        <v>615.0</v>
      </c>
      <c r="B43" s="3">
        <v>7.7</v>
      </c>
      <c r="C43" s="4">
        <f t="shared" si="1"/>
        <v>2.041220329</v>
      </c>
      <c r="D43" s="1">
        <v>111.0</v>
      </c>
      <c r="E43" s="4">
        <f t="shared" si="2"/>
        <v>384</v>
      </c>
      <c r="F43" s="4">
        <f t="shared" si="3"/>
        <v>4.709530201</v>
      </c>
    </row>
    <row r="44">
      <c r="A44" s="1">
        <v>630.0</v>
      </c>
      <c r="B44" s="3">
        <v>7.4</v>
      </c>
      <c r="C44" s="4">
        <f t="shared" si="1"/>
        <v>2.00148</v>
      </c>
      <c r="D44" s="1">
        <v>107.0</v>
      </c>
      <c r="E44" s="4">
        <f t="shared" si="2"/>
        <v>380</v>
      </c>
      <c r="F44" s="4">
        <f t="shared" si="3"/>
        <v>4.672828834</v>
      </c>
    </row>
    <row r="45">
      <c r="A45" s="1">
        <v>645.0</v>
      </c>
      <c r="B45" s="3">
        <v>7.2</v>
      </c>
      <c r="C45" s="4">
        <f t="shared" si="1"/>
        <v>1.974081026</v>
      </c>
      <c r="D45" s="1">
        <v>104.0</v>
      </c>
      <c r="E45" s="4">
        <f t="shared" si="2"/>
        <v>377</v>
      </c>
      <c r="F45" s="4">
        <f t="shared" si="3"/>
        <v>4.644390899</v>
      </c>
    </row>
  </sheetData>
  <drawing r:id="rId1"/>
</worksheet>
</file>